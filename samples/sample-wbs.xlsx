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BS" r:id="rId3" sheetId="1"/>
    <sheet name="取込" r:id="rId4" sheetId="2"/>
  </sheets>
  <calcPr fullCalcOnLoad="true"/>
</workbook>
</file>

<file path=xl/sharedStrings.xml><?xml version="1.0" encoding="utf-8"?>
<sst xmlns="http://schemas.openxmlformats.org/spreadsheetml/2006/main" count="108" uniqueCount="48">
  <si>
    <t>サンプルシステム刷新プロジェクト WBS</t>
  </si>
  <si>
    <t>更新日: 2026/9/28　※人が見る・編集する表です。Redmine への取込は「取込」シートのテーブル「取込表」がこの表を参照して行います。</t>
  </si>
  <si>
    <t>No</t>
  </si>
  <si>
    <t>チケットID</t>
  </si>
  <si>
    <t>トラッカー</t>
  </si>
  <si>
    <t>大分類</t>
  </si>
  <si>
    <t>中分類</t>
  </si>
  <si>
    <t>小分類</t>
  </si>
  <si>
    <t>成果物</t>
  </si>
  <si>
    <t>タスク</t>
  </si>
  <si>
    <t>担当</t>
  </si>
  <si>
    <t>着手予定</t>
  </si>
  <si>
    <t>完了予定</t>
  </si>
  <si>
    <t>ステータス</t>
  </si>
  <si>
    <t>進捗率</t>
  </si>
  <si>
    <t>工数(人日)</t>
  </si>
  <si>
    <t>備考</t>
  </si>
  <si>
    <t>サマリ</t>
  </si>
  <si>
    <t>要件定義</t>
  </si>
  <si>
    <t>大分類の行（親チケット）</t>
  </si>
  <si>
    <t>業務要件</t>
  </si>
  <si>
    <t>現行業務ヒアリング</t>
  </si>
  <si>
    <t>田中</t>
  </si>
  <si>
    <t>完了</t>
  </si>
  <si>
    <t>中分類の直下のタスク（小分類・成果物を飛ばす）</t>
  </si>
  <si>
    <t>業務フロー作成</t>
  </si>
  <si>
    <t>進行中</t>
  </si>
  <si>
    <t>要件定義書レビュー</t>
  </si>
  <si>
    <t>山田</t>
  </si>
  <si>
    <t>未着手</t>
  </si>
  <si>
    <t>大分類の直下のタスク（中分類以下を飛ばす）</t>
  </si>
  <si>
    <t>―― ここから基本設計（この行は取込対象外） ――</t>
  </si>
  <si>
    <t>基本設計</t>
  </si>
  <si>
    <t>画面設計</t>
  </si>
  <si>
    <t>ログイン画面</t>
  </si>
  <si>
    <t>画面設計書</t>
  </si>
  <si>
    <t>成果物の行</t>
  </si>
  <si>
    <t>画面レイアウト作成</t>
  </si>
  <si>
    <t>佐藤</t>
  </si>
  <si>
    <t>入力チェック仕様作成</t>
  </si>
  <si>
    <t>画面一覧作成</t>
  </si>
  <si>
    <t>鈴木</t>
  </si>
  <si>
    <t>中分類の直下のタスク</t>
  </si>
  <si>
    <t>DB設計</t>
  </si>
  <si>
    <t>テーブル定義作成</t>
  </si>
  <si>
    <t>基本設計書レビュー</t>
  </si>
  <si>
    <t>大分類の直下のタスク</t>
  </si>
  <si>
    <t>※このシートは Redmine 取込用です（テーブル「取込表」）。各セルは「WBS」シートを参照する数式なので、直接入力せず WBS シートを編集してください。</t>
  </si>
</sst>
</file>

<file path=xl/styles.xml><?xml version="1.0" encoding="utf-8"?>
<styleSheet xmlns="http://schemas.openxmlformats.org/spreadsheetml/2006/main">
  <numFmts count="4">
    <numFmt numFmtId="164" formatCode="yyyy/m/d"/>
    <numFmt numFmtId="165" formatCode="0.0"/>
    <numFmt numFmtId="166" formatCode="0;-0;;@"/>
    <numFmt numFmtId="167" formatCode="yyyy/m/d;;"/>
  </numFmts>
  <fonts count="6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9.0"/>
      <color indexed="23"/>
    </font>
    <font>
      <name val="Calibri"/>
      <sz val="11.0"/>
      <b val="true"/>
      <color indexed="9"/>
    </font>
    <font>
      <name val="Calibri"/>
      <sz val="11.0"/>
      <i val="true"/>
      <color indexed="23"/>
    </font>
    <font>
      <name val="Calibri"/>
      <sz val="11.0"/>
      <b val="true"/>
    </font>
  </fonts>
  <fills count="13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4" xfId="0" applyBorder="true" applyFont="true" applyFill="true" applyAlignment="true">
      <alignment horizontal="center" vertical="center"/>
    </xf>
    <xf numFmtId="0" fontId="3" fillId="4" borderId="4" xfId="0" applyBorder="true" applyFont="true" applyFill="true" applyAlignment="true">
      <alignment horizontal="center" vertical="center"/>
    </xf>
    <xf numFmtId="0" fontId="4" fillId="6" borderId="0" xfId="0" applyFont="true" applyFill="true"/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 horizontal="center"/>
    </xf>
    <xf numFmtId="1" fontId="0" fillId="8" borderId="4" xfId="0" applyBorder="true" applyAlignment="true" applyNumberFormat="true" applyFill="true">
      <alignment vertical="center" horizontal="center"/>
    </xf>
    <xf numFmtId="164" fontId="0" fillId="0" borderId="4" xfId="0" applyBorder="true" applyAlignment="true" applyNumberFormat="true">
      <alignment vertical="center" horizontal="center"/>
    </xf>
    <xf numFmtId="9" fontId="0" fillId="0" borderId="4" xfId="0" applyBorder="true" applyAlignment="true" applyNumberFormat="true">
      <alignment vertical="center" horizontal="center"/>
    </xf>
    <xf numFmtId="165" fontId="0" fillId="0" borderId="4" xfId="0" applyBorder="true" applyAlignment="true" applyNumberFormat="true">
      <alignment vertical="center" horizontal="center"/>
    </xf>
    <xf numFmtId="0" fontId="0" fillId="10" borderId="4" xfId="0" applyBorder="true" applyAlignment="true" applyFill="true">
      <alignment vertical="top"/>
    </xf>
    <xf numFmtId="0" fontId="5" fillId="12" borderId="4" xfId="0" applyBorder="true" applyAlignment="true" applyFont="true" applyFill="true">
      <alignment vertical="center"/>
    </xf>
    <xf numFmtId="0" fontId="5" fillId="12" borderId="4" xfId="0" applyBorder="true" applyAlignment="true" applyFont="true" applyFill="true">
      <alignment vertical="center" horizontal="center"/>
    </xf>
    <xf numFmtId="1" fontId="5" fillId="8" borderId="4" xfId="0" applyBorder="true" applyAlignment="true" applyNumberFormat="true" applyFill="true" applyFont="true">
      <alignment vertical="center" horizontal="center"/>
    </xf>
    <xf numFmtId="164" fontId="5" fillId="12" borderId="4" xfId="0" applyBorder="true" applyAlignment="true" applyNumberFormat="true" applyFont="true" applyFill="true">
      <alignment vertical="center" horizontal="center"/>
    </xf>
    <xf numFmtId="9" fontId="5" fillId="12" borderId="4" xfId="0" applyBorder="true" applyAlignment="true" applyNumberFormat="true" applyFont="true" applyFill="true">
      <alignment vertical="center" horizontal="center"/>
    </xf>
    <xf numFmtId="165" fontId="5" fillId="12" borderId="4" xfId="0" applyBorder="true" applyAlignment="true" applyNumberFormat="true" applyFont="true" applyFill="true">
      <alignment vertical="center" horizontal="center"/>
    </xf>
    <xf numFmtId="0" fontId="0" fillId="0" borderId="0" xfId="0"/>
    <xf numFmtId="166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tables/table1.xml><?xml version="1.0" encoding="utf-8"?>
<table xmlns="http://schemas.openxmlformats.org/spreadsheetml/2006/main" id="1" ref="A3:K18" displayName="取込表" name="取込表">
  <autoFilter ref="A3:K18"/>
  <tableColumns count="11">
    <tableColumn id="1" name="チケットID"/>
    <tableColumn id="2" name="トラッカー"/>
    <tableColumn id="3" name="大分類"/>
    <tableColumn id="4" name="中分類"/>
    <tableColumn id="5" name="小分類"/>
    <tableColumn id="6" name="成果物"/>
    <tableColumn id="7" name="タスク"/>
    <tableColumn id="8" name="着手予定"/>
    <tableColumn id="9" name="完了予定"/>
    <tableColumn id="10" name="ステータス"/>
    <tableColumn id="11" name="進捗率"/>
  </tableColumns>
  <tableStyleInfo name="TableStyleMedium2" showRowStripes="true"/>
</table>
</file>

<file path=xl/worksheets/_rels/sheet2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>
  <dimension ref="A1:O20"/>
  <sheetViews>
    <sheetView workbookViewId="0" tabSelected="true">
      <pane xSplit="3.0" ySplit="4.0" state="frozen" topLeftCell="D5" activePane="bottomRight"/>
      <selection pane="bottomRight"/>
    </sheetView>
  </sheetViews>
  <sheetFormatPr defaultRowHeight="15.0"/>
  <cols>
    <col min="1" max="1" width="5.78125" customWidth="true"/>
    <col min="2" max="2" width="10.78125" customWidth="true"/>
    <col min="3" max="3" width="9.78125" customWidth="true"/>
    <col min="4" max="4" width="12.78125" customWidth="true"/>
    <col min="5" max="5" width="12.78125" customWidth="true"/>
    <col min="6" max="6" width="13.78125" customWidth="true"/>
    <col min="7" max="7" width="12.78125" customWidth="true"/>
    <col min="8" max="8" width="20.78125" customWidth="true"/>
    <col min="9" max="9" width="8.78125" customWidth="true"/>
    <col min="10" max="10" width="11.78125" customWidth="true"/>
    <col min="11" max="11" width="11.78125" customWidth="true"/>
    <col min="12" max="12" width="9.78125" customWidth="true"/>
    <col min="13" max="13" width="8.78125" customWidth="true"/>
    <col min="14" max="14" width="10.78125" customWidth="true"/>
    <col min="15" max="15" width="40.78125" customWidth="true"/>
  </cols>
  <sheetData>
    <row r="1" ht="24.0" customHeight="true">
      <c r="A1" s="1" t="s">
        <v>0</v>
      </c>
    </row>
    <row r="2">
      <c r="A2" s="2" t="s">
        <v>1</v>
      </c>
    </row>
    <row r="4" ht="20.0" customHeight="true">
      <c r="A4" s="4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4" t="s">
        <v>15</v>
      </c>
      <c r="O4" s="4" t="s">
        <v>16</v>
      </c>
    </row>
    <row r="5">
      <c r="A5" s="14" t="n">
        <v>1.0</v>
      </c>
      <c r="B5" s="15"/>
      <c r="C5" s="14" t="s">
        <v>17</v>
      </c>
      <c r="D5" s="12" t="s">
        <v>18</v>
      </c>
      <c r="E5" s="12"/>
      <c r="F5" s="13"/>
      <c r="G5" s="13"/>
      <c r="H5" s="13"/>
      <c r="I5" s="13"/>
      <c r="J5" s="16" t="n">
        <v>46296.0</v>
      </c>
      <c r="K5" s="16" t="n">
        <v>46311.0</v>
      </c>
      <c r="L5" s="14"/>
      <c r="M5" s="17"/>
      <c r="N5" s="18"/>
      <c r="O5" s="13" t="s">
        <v>19</v>
      </c>
    </row>
    <row r="6">
      <c r="A6" s="14" t="n">
        <v>2.0</v>
      </c>
      <c r="B6" s="15"/>
      <c r="C6" s="14" t="s">
        <v>17</v>
      </c>
      <c r="D6" s="12"/>
      <c r="E6" s="12" t="s">
        <v>20</v>
      </c>
      <c r="F6" s="13"/>
      <c r="G6" s="13"/>
      <c r="H6" s="13"/>
      <c r="I6" s="13"/>
      <c r="J6" s="16" t="n">
        <v>46296.0</v>
      </c>
      <c r="K6" s="16" t="n">
        <v>46309.0</v>
      </c>
      <c r="L6" s="14"/>
      <c r="M6" s="17"/>
      <c r="N6" s="18"/>
      <c r="O6" s="13"/>
    </row>
    <row r="7">
      <c r="A7" s="7" t="n">
        <v>3.0</v>
      </c>
      <c r="B7" s="8"/>
      <c r="C7" s="7" t="s">
        <v>9</v>
      </c>
      <c r="D7" s="12"/>
      <c r="E7" s="12"/>
      <c r="F7" s="6"/>
      <c r="G7" s="6"/>
      <c r="H7" s="6" t="s">
        <v>21</v>
      </c>
      <c r="I7" s="6" t="s">
        <v>22</v>
      </c>
      <c r="J7" s="9" t="n">
        <v>46296.0</v>
      </c>
      <c r="K7" s="9" t="n">
        <v>46302.0</v>
      </c>
      <c r="L7" s="7" t="s">
        <v>23</v>
      </c>
      <c r="M7" s="10" t="n">
        <v>1.0</v>
      </c>
      <c r="N7" s="11" t="n">
        <v>3.0</v>
      </c>
      <c r="O7" s="6" t="s">
        <v>24</v>
      </c>
    </row>
    <row r="8">
      <c r="A8" s="7" t="n">
        <v>4.0</v>
      </c>
      <c r="B8" s="8"/>
      <c r="C8" s="7" t="s">
        <v>9</v>
      </c>
      <c r="D8" s="12"/>
      <c r="E8" s="12"/>
      <c r="F8" s="6"/>
      <c r="G8" s="6"/>
      <c r="H8" s="6" t="s">
        <v>25</v>
      </c>
      <c r="I8" s="6" t="s">
        <v>22</v>
      </c>
      <c r="J8" s="9" t="n">
        <v>46301.0</v>
      </c>
      <c r="K8" s="9" t="n">
        <v>46309.0</v>
      </c>
      <c r="L8" s="7" t="s">
        <v>26</v>
      </c>
      <c r="M8" s="10" t="n">
        <v>0.5</v>
      </c>
      <c r="N8" s="11" t="n">
        <v>4.0</v>
      </c>
      <c r="O8" s="6"/>
    </row>
    <row r="9">
      <c r="A9" s="7" t="n">
        <v>5.0</v>
      </c>
      <c r="B9" s="8"/>
      <c r="C9" s="7" t="s">
        <v>9</v>
      </c>
      <c r="D9" s="12"/>
      <c r="E9" s="12"/>
      <c r="F9" s="6"/>
      <c r="G9" s="6"/>
      <c r="H9" s="6" t="s">
        <v>27</v>
      </c>
      <c r="I9" s="6" t="s">
        <v>28</v>
      </c>
      <c r="J9" s="9" t="n">
        <v>46310.0</v>
      </c>
      <c r="K9" s="9" t="n">
        <v>46311.0</v>
      </c>
      <c r="L9" s="7" t="s">
        <v>29</v>
      </c>
      <c r="M9" s="10" t="n">
        <v>0.0</v>
      </c>
      <c r="N9" s="11" t="n">
        <v>1.0</v>
      </c>
      <c r="O9" s="6" t="s">
        <v>30</v>
      </c>
    </row>
    <row r="10">
      <c r="A10" s="5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>
      <c r="A11" s="14" t="n">
        <v>6.0</v>
      </c>
      <c r="B11" s="15"/>
      <c r="C11" s="14" t="s">
        <v>17</v>
      </c>
      <c r="D11" s="12" t="s">
        <v>32</v>
      </c>
      <c r="E11" s="12"/>
      <c r="F11" s="13"/>
      <c r="G11" s="13"/>
      <c r="H11" s="13"/>
      <c r="I11" s="13"/>
      <c r="J11" s="16" t="n">
        <v>46314.0</v>
      </c>
      <c r="K11" s="16" t="n">
        <v>46339.0</v>
      </c>
      <c r="L11" s="14"/>
      <c r="M11" s="17"/>
      <c r="N11" s="18"/>
      <c r="O11" s="13"/>
    </row>
    <row r="12">
      <c r="A12" s="14" t="n">
        <v>7.0</v>
      </c>
      <c r="B12" s="15"/>
      <c r="C12" s="14" t="s">
        <v>17</v>
      </c>
      <c r="D12" s="12"/>
      <c r="E12" s="12" t="s">
        <v>33</v>
      </c>
      <c r="F12" s="13"/>
      <c r="G12" s="13"/>
      <c r="H12" s="13"/>
      <c r="I12" s="13"/>
      <c r="J12" s="16" t="n">
        <v>46314.0</v>
      </c>
      <c r="K12" s="16" t="n">
        <v>46332.0</v>
      </c>
      <c r="L12" s="14"/>
      <c r="M12" s="17"/>
      <c r="N12" s="18"/>
      <c r="O12" s="13"/>
    </row>
    <row r="13">
      <c r="A13" s="14" t="n">
        <v>8.0</v>
      </c>
      <c r="B13" s="15"/>
      <c r="C13" s="14" t="s">
        <v>17</v>
      </c>
      <c r="D13" s="12"/>
      <c r="E13" s="12"/>
      <c r="F13" s="13" t="s">
        <v>34</v>
      </c>
      <c r="G13" s="13"/>
      <c r="H13" s="13"/>
      <c r="I13" s="13"/>
      <c r="J13" s="16" t="n">
        <v>46314.0</v>
      </c>
      <c r="K13" s="16" t="n">
        <v>46325.0</v>
      </c>
      <c r="L13" s="14"/>
      <c r="M13" s="17"/>
      <c r="N13" s="18"/>
      <c r="O13" s="13"/>
    </row>
    <row r="14">
      <c r="A14" s="14" t="n">
        <v>9.0</v>
      </c>
      <c r="B14" s="15"/>
      <c r="C14" s="14" t="s">
        <v>17</v>
      </c>
      <c r="D14" s="12"/>
      <c r="E14" s="12"/>
      <c r="F14" s="13" t="s">
        <v>34</v>
      </c>
      <c r="G14" s="13" t="s">
        <v>35</v>
      </c>
      <c r="H14" s="13"/>
      <c r="I14" s="13"/>
      <c r="J14" s="16" t="n">
        <v>46314.0</v>
      </c>
      <c r="K14" s="16" t="n">
        <v>46325.0</v>
      </c>
      <c r="L14" s="14"/>
      <c r="M14" s="17"/>
      <c r="N14" s="18"/>
      <c r="O14" s="13" t="s">
        <v>36</v>
      </c>
    </row>
    <row r="15">
      <c r="A15" s="7" t="n">
        <v>10.0</v>
      </c>
      <c r="B15" s="8"/>
      <c r="C15" s="7" t="s">
        <v>9</v>
      </c>
      <c r="D15" s="12"/>
      <c r="E15" s="12"/>
      <c r="F15" s="6" t="s">
        <v>34</v>
      </c>
      <c r="G15" s="6" t="s">
        <v>35</v>
      </c>
      <c r="H15" s="6" t="s">
        <v>37</v>
      </c>
      <c r="I15" s="6" t="s">
        <v>38</v>
      </c>
      <c r="J15" s="9" t="n">
        <v>46314.0</v>
      </c>
      <c r="K15" s="9" t="n">
        <v>46318.0</v>
      </c>
      <c r="L15" s="7" t="s">
        <v>29</v>
      </c>
      <c r="M15" s="10" t="n">
        <v>0.0</v>
      </c>
      <c r="N15" s="11" t="n">
        <v>3.0</v>
      </c>
      <c r="O15" s="6"/>
    </row>
    <row r="16">
      <c r="A16" s="7" t="n">
        <v>11.0</v>
      </c>
      <c r="B16" s="8"/>
      <c r="C16" s="7" t="s">
        <v>9</v>
      </c>
      <c r="D16" s="12"/>
      <c r="E16" s="12"/>
      <c r="F16" s="6" t="s">
        <v>34</v>
      </c>
      <c r="G16" s="6" t="s">
        <v>35</v>
      </c>
      <c r="H16" s="6" t="s">
        <v>39</v>
      </c>
      <c r="I16" s="6" t="s">
        <v>38</v>
      </c>
      <c r="J16" s="9" t="n">
        <v>46321.0</v>
      </c>
      <c r="K16" s="9" t="n">
        <v>46325.0</v>
      </c>
      <c r="L16" s="7" t="s">
        <v>29</v>
      </c>
      <c r="M16" s="10" t="n">
        <v>0.0</v>
      </c>
      <c r="N16" s="11" t="n">
        <v>3.0</v>
      </c>
      <c r="O16" s="6"/>
    </row>
    <row r="17">
      <c r="A17" s="7" t="n">
        <v>12.0</v>
      </c>
      <c r="B17" s="8"/>
      <c r="C17" s="7" t="s">
        <v>9</v>
      </c>
      <c r="D17" s="12"/>
      <c r="E17" s="12"/>
      <c r="F17" s="6"/>
      <c r="G17" s="6"/>
      <c r="H17" s="6" t="s">
        <v>40</v>
      </c>
      <c r="I17" s="6" t="s">
        <v>41</v>
      </c>
      <c r="J17" s="9" t="n">
        <v>46328.0</v>
      </c>
      <c r="K17" s="9" t="n">
        <v>46332.0</v>
      </c>
      <c r="L17" s="7" t="s">
        <v>29</v>
      </c>
      <c r="M17" s="10" t="n">
        <v>0.0</v>
      </c>
      <c r="N17" s="11" t="n">
        <v>2.0</v>
      </c>
      <c r="O17" s="6" t="s">
        <v>42</v>
      </c>
    </row>
    <row r="18">
      <c r="A18" s="14" t="n">
        <v>13.0</v>
      </c>
      <c r="B18" s="15"/>
      <c r="C18" s="14" t="s">
        <v>17</v>
      </c>
      <c r="D18" s="12"/>
      <c r="E18" s="12" t="s">
        <v>43</v>
      </c>
      <c r="F18" s="13"/>
      <c r="G18" s="13"/>
      <c r="H18" s="13"/>
      <c r="I18" s="13"/>
      <c r="J18" s="16" t="n">
        <v>46321.0</v>
      </c>
      <c r="K18" s="16" t="n">
        <v>46337.0</v>
      </c>
      <c r="L18" s="14"/>
      <c r="M18" s="17"/>
      <c r="N18" s="18"/>
      <c r="O18" s="13"/>
    </row>
    <row r="19">
      <c r="A19" s="7" t="n">
        <v>14.0</v>
      </c>
      <c r="B19" s="8"/>
      <c r="C19" s="7" t="s">
        <v>9</v>
      </c>
      <c r="D19" s="12"/>
      <c r="E19" s="12"/>
      <c r="F19" s="6"/>
      <c r="G19" s="6"/>
      <c r="H19" s="6" t="s">
        <v>44</v>
      </c>
      <c r="I19" s="6" t="s">
        <v>41</v>
      </c>
      <c r="J19" s="9" t="n">
        <v>46321.0</v>
      </c>
      <c r="K19" s="9" t="n">
        <v>46337.0</v>
      </c>
      <c r="L19" s="7" t="s">
        <v>29</v>
      </c>
      <c r="M19" s="10" t="n">
        <v>0.0</v>
      </c>
      <c r="N19" s="11" t="n">
        <v>5.0</v>
      </c>
      <c r="O19" s="6"/>
    </row>
    <row r="20">
      <c r="A20" s="7" t="n">
        <v>15.0</v>
      </c>
      <c r="B20" s="8"/>
      <c r="C20" s="7" t="s">
        <v>9</v>
      </c>
      <c r="D20" s="12"/>
      <c r="E20" s="12"/>
      <c r="F20" s="6"/>
      <c r="G20" s="6"/>
      <c r="H20" s="6" t="s">
        <v>45</v>
      </c>
      <c r="I20" s="6" t="s">
        <v>28</v>
      </c>
      <c r="J20" s="9" t="n">
        <v>46338.0</v>
      </c>
      <c r="K20" s="9" t="n">
        <v>46339.0</v>
      </c>
      <c r="L20" s="7" t="s">
        <v>29</v>
      </c>
      <c r="M20" s="10" t="n">
        <v>0.0</v>
      </c>
      <c r="N20" s="11" t="n">
        <v>1.0</v>
      </c>
      <c r="O20" s="6" t="s">
        <v>46</v>
      </c>
    </row>
  </sheetData>
  <mergeCells count="8">
    <mergeCell ref="A1:O1"/>
    <mergeCell ref="A2:O2"/>
    <mergeCell ref="A10:O10"/>
    <mergeCell ref="D5:D9"/>
    <mergeCell ref="D11:D20"/>
    <mergeCell ref="E6:E8"/>
    <mergeCell ref="E12:E17"/>
    <mergeCell ref="E18:E1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0.78125" customWidth="true"/>
    <col min="2" max="2" width="9.78125" customWidth="true"/>
    <col min="3" max="3" width="12.78125" customWidth="true"/>
    <col min="4" max="4" width="12.78125" customWidth="true"/>
    <col min="5" max="5" width="13.78125" customWidth="true"/>
    <col min="6" max="6" width="12.78125" customWidth="true"/>
    <col min="7" max="7" width="20.78125" customWidth="true"/>
    <col min="8" max="8" width="11.78125" customWidth="true"/>
    <col min="9" max="9" width="11.78125" customWidth="true"/>
    <col min="10" max="10" width="9.78125" customWidth="true"/>
    <col min="11" max="11" width="8.78125" customWidth="true"/>
  </cols>
  <sheetData>
    <row r="1">
      <c r="A1" s="2" t="s">
        <v>47</v>
      </c>
    </row>
    <row r="3">
      <c r="A3" t="s" s="0">
        <v>3</v>
      </c>
      <c r="B3" t="s" s="0">
        <v>4</v>
      </c>
      <c r="C3" t="s" s="0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11</v>
      </c>
      <c r="I3" t="s" s="0">
        <v>12</v>
      </c>
      <c r="J3" t="s" s="0">
        <v>13</v>
      </c>
      <c r="K3" t="s" s="0">
        <v>14</v>
      </c>
    </row>
    <row r="4">
      <c r="A4" s="20" t="n">
        <f>WBS!$B$5</f>
        <v>0.0</v>
      </c>
      <c r="B4" s="20" t="str">
        <f>WBS!$C$5</f>
        <v>サマリ</v>
      </c>
      <c r="C4" s="20" t="str">
        <f>WBS!$D$5</f>
        <v>要件定義</v>
      </c>
      <c r="D4" s="20" t="n">
        <f>WBS!$E$5</f>
        <v>0.0</v>
      </c>
      <c r="E4" s="20" t="n">
        <f>WBS!$F$5</f>
        <v>0.0</v>
      </c>
      <c r="F4" s="20" t="n">
        <f>WBS!$G$5</f>
        <v>0.0</v>
      </c>
      <c r="G4" s="20" t="n">
        <f>WBS!$H$5</f>
        <v>0.0</v>
      </c>
      <c r="H4" s="21" t="n">
        <f>WBS!$J$5</f>
        <v>46296.0</v>
      </c>
      <c r="I4" s="21" t="n">
        <f>WBS!$K$5</f>
        <v>46311.0</v>
      </c>
      <c r="J4" s="20" t="n">
        <f>WBS!$L$5</f>
        <v>0.0</v>
      </c>
      <c r="K4" s="19" t="str">
        <f>IF(WBS!$M$5="","",ROUND(WBS!$M$5*100,0))</f>
        <v/>
      </c>
    </row>
    <row r="5">
      <c r="A5" s="20" t="n">
        <f>WBS!$B$6</f>
        <v>0.0</v>
      </c>
      <c r="B5" s="20" t="str">
        <f>WBS!$C$6</f>
        <v>サマリ</v>
      </c>
      <c r="C5" s="20" t="str">
        <f>WBS!$D$5</f>
        <v>要件定義</v>
      </c>
      <c r="D5" s="20" t="str">
        <f>WBS!$E$6</f>
        <v>業務要件</v>
      </c>
      <c r="E5" s="20" t="n">
        <f>WBS!$F$6</f>
        <v>0.0</v>
      </c>
      <c r="F5" s="20" t="n">
        <f>WBS!$G$6</f>
        <v>0.0</v>
      </c>
      <c r="G5" s="20" t="n">
        <f>WBS!$H$6</f>
        <v>0.0</v>
      </c>
      <c r="H5" s="21" t="n">
        <f>WBS!$J$6</f>
        <v>46296.0</v>
      </c>
      <c r="I5" s="21" t="n">
        <f>WBS!$K$6</f>
        <v>46309.0</v>
      </c>
      <c r="J5" s="20" t="n">
        <f>WBS!$L$6</f>
        <v>0.0</v>
      </c>
      <c r="K5" s="19" t="str">
        <f>IF(WBS!$M$6="","",ROUND(WBS!$M$6*100,0))</f>
        <v/>
      </c>
    </row>
    <row r="6">
      <c r="A6" s="20" t="n">
        <f>WBS!$B$7</f>
        <v>0.0</v>
      </c>
      <c r="B6" s="20" t="str">
        <f>WBS!$C$7</f>
        <v>タスク</v>
      </c>
      <c r="C6" s="20" t="str">
        <f>WBS!$D$5</f>
        <v>要件定義</v>
      </c>
      <c r="D6" s="20" t="str">
        <f>WBS!$E$6</f>
        <v>業務要件</v>
      </c>
      <c r="E6" s="20" t="n">
        <f>WBS!$F$7</f>
        <v>0.0</v>
      </c>
      <c r="F6" s="20" t="n">
        <f>WBS!$G$7</f>
        <v>0.0</v>
      </c>
      <c r="G6" s="20" t="str">
        <f>WBS!$H$7</f>
        <v>現行業務ヒアリング</v>
      </c>
      <c r="H6" s="21" t="n">
        <f>WBS!$J$7</f>
        <v>46296.0</v>
      </c>
      <c r="I6" s="21" t="n">
        <f>WBS!$K$7</f>
        <v>46302.0</v>
      </c>
      <c r="J6" s="20" t="str">
        <f>WBS!$L$7</f>
        <v>完了</v>
      </c>
      <c r="K6" s="19" t="n">
        <f>IF(WBS!$M$7="","",ROUND(WBS!$M$7*100,0))</f>
        <v>100.0</v>
      </c>
    </row>
    <row r="7">
      <c r="A7" s="20" t="n">
        <f>WBS!$B$8</f>
        <v>0.0</v>
      </c>
      <c r="B7" s="20" t="str">
        <f>WBS!$C$8</f>
        <v>タスク</v>
      </c>
      <c r="C7" s="20" t="str">
        <f>WBS!$D$5</f>
        <v>要件定義</v>
      </c>
      <c r="D7" s="20" t="str">
        <f>WBS!$E$6</f>
        <v>業務要件</v>
      </c>
      <c r="E7" s="20" t="n">
        <f>WBS!$F$8</f>
        <v>0.0</v>
      </c>
      <c r="F7" s="20" t="n">
        <f>WBS!$G$8</f>
        <v>0.0</v>
      </c>
      <c r="G7" s="20" t="str">
        <f>WBS!$H$8</f>
        <v>業務フロー作成</v>
      </c>
      <c r="H7" s="21" t="n">
        <f>WBS!$J$8</f>
        <v>46301.0</v>
      </c>
      <c r="I7" s="21" t="n">
        <f>WBS!$K$8</f>
        <v>46309.0</v>
      </c>
      <c r="J7" s="20" t="str">
        <f>WBS!$L$8</f>
        <v>進行中</v>
      </c>
      <c r="K7" s="19" t="n">
        <f>IF(WBS!$M$8="","",ROUND(WBS!$M$8*100,0))</f>
        <v>50.0</v>
      </c>
    </row>
    <row r="8">
      <c r="A8" s="20" t="n">
        <f>WBS!$B$9</f>
        <v>0.0</v>
      </c>
      <c r="B8" s="20" t="str">
        <f>WBS!$C$9</f>
        <v>タスク</v>
      </c>
      <c r="C8" s="20" t="str">
        <f>WBS!$D$5</f>
        <v>要件定義</v>
      </c>
      <c r="D8" s="20" t="n">
        <f>WBS!$E$9</f>
        <v>0.0</v>
      </c>
      <c r="E8" s="20" t="n">
        <f>WBS!$F$9</f>
        <v>0.0</v>
      </c>
      <c r="F8" s="20" t="n">
        <f>WBS!$G$9</f>
        <v>0.0</v>
      </c>
      <c r="G8" s="20" t="str">
        <f>WBS!$H$9</f>
        <v>要件定義書レビュー</v>
      </c>
      <c r="H8" s="21" t="n">
        <f>WBS!$J$9</f>
        <v>46310.0</v>
      </c>
      <c r="I8" s="21" t="n">
        <f>WBS!$K$9</f>
        <v>46311.0</v>
      </c>
      <c r="J8" s="20" t="str">
        <f>WBS!$L$9</f>
        <v>未着手</v>
      </c>
      <c r="K8" s="19" t="n">
        <f>IF(WBS!$M$9="","",ROUND(WBS!$M$9*100,0))</f>
        <v>0.0</v>
      </c>
    </row>
    <row r="9">
      <c r="A9" s="20" t="n">
        <f>WBS!$B$11</f>
        <v>0.0</v>
      </c>
      <c r="B9" s="20" t="str">
        <f>WBS!$C$11</f>
        <v>サマリ</v>
      </c>
      <c r="C9" s="20" t="str">
        <f>WBS!$D$11</f>
        <v>基本設計</v>
      </c>
      <c r="D9" s="20" t="n">
        <f>WBS!$E$11</f>
        <v>0.0</v>
      </c>
      <c r="E9" s="20" t="n">
        <f>WBS!$F$11</f>
        <v>0.0</v>
      </c>
      <c r="F9" s="20" t="n">
        <f>WBS!$G$11</f>
        <v>0.0</v>
      </c>
      <c r="G9" s="20" t="n">
        <f>WBS!$H$11</f>
        <v>0.0</v>
      </c>
      <c r="H9" s="21" t="n">
        <f>WBS!$J$11</f>
        <v>46314.0</v>
      </c>
      <c r="I9" s="21" t="n">
        <f>WBS!$K$11</f>
        <v>46339.0</v>
      </c>
      <c r="J9" s="20" t="n">
        <f>WBS!$L$11</f>
        <v>0.0</v>
      </c>
      <c r="K9" s="19" t="str">
        <f>IF(WBS!$M$11="","",ROUND(WBS!$M$11*100,0))</f>
        <v/>
      </c>
    </row>
    <row r="10">
      <c r="A10" s="20" t="n">
        <f>WBS!$B$12</f>
        <v>0.0</v>
      </c>
      <c r="B10" s="20" t="str">
        <f>WBS!$C$12</f>
        <v>サマリ</v>
      </c>
      <c r="C10" s="20" t="str">
        <f>WBS!$D$11</f>
        <v>基本設計</v>
      </c>
      <c r="D10" s="20" t="str">
        <f>WBS!$E$12</f>
        <v>画面設計</v>
      </c>
      <c r="E10" s="20" t="n">
        <f>WBS!$F$12</f>
        <v>0.0</v>
      </c>
      <c r="F10" s="20" t="n">
        <f>WBS!$G$12</f>
        <v>0.0</v>
      </c>
      <c r="G10" s="20" t="n">
        <f>WBS!$H$12</f>
        <v>0.0</v>
      </c>
      <c r="H10" s="21" t="n">
        <f>WBS!$J$12</f>
        <v>46314.0</v>
      </c>
      <c r="I10" s="21" t="n">
        <f>WBS!$K$12</f>
        <v>46332.0</v>
      </c>
      <c r="J10" s="20" t="n">
        <f>WBS!$L$12</f>
        <v>0.0</v>
      </c>
      <c r="K10" s="19" t="str">
        <f>IF(WBS!$M$12="","",ROUND(WBS!$M$12*100,0))</f>
        <v/>
      </c>
    </row>
    <row r="11">
      <c r="A11" s="20" t="n">
        <f>WBS!$B$13</f>
        <v>0.0</v>
      </c>
      <c r="B11" s="20" t="str">
        <f>WBS!$C$13</f>
        <v>サマリ</v>
      </c>
      <c r="C11" s="20" t="str">
        <f>WBS!$D$11</f>
        <v>基本設計</v>
      </c>
      <c r="D11" s="20" t="str">
        <f>WBS!$E$12</f>
        <v>画面設計</v>
      </c>
      <c r="E11" s="20" t="str">
        <f>WBS!$F$13</f>
        <v>ログイン画面</v>
      </c>
      <c r="F11" s="20" t="n">
        <f>WBS!$G$13</f>
        <v>0.0</v>
      </c>
      <c r="G11" s="20" t="n">
        <f>WBS!$H$13</f>
        <v>0.0</v>
      </c>
      <c r="H11" s="21" t="n">
        <f>WBS!$J$13</f>
        <v>46314.0</v>
      </c>
      <c r="I11" s="21" t="n">
        <f>WBS!$K$13</f>
        <v>46325.0</v>
      </c>
      <c r="J11" s="20" t="n">
        <f>WBS!$L$13</f>
        <v>0.0</v>
      </c>
      <c r="K11" s="19" t="str">
        <f>IF(WBS!$M$13="","",ROUND(WBS!$M$13*100,0))</f>
        <v/>
      </c>
    </row>
    <row r="12">
      <c r="A12" s="20" t="n">
        <f>WBS!$B$14</f>
        <v>0.0</v>
      </c>
      <c r="B12" s="20" t="str">
        <f>WBS!$C$14</f>
        <v>サマリ</v>
      </c>
      <c r="C12" s="20" t="str">
        <f>WBS!$D$11</f>
        <v>基本設計</v>
      </c>
      <c r="D12" s="20" t="str">
        <f>WBS!$E$12</f>
        <v>画面設計</v>
      </c>
      <c r="E12" s="20" t="str">
        <f>WBS!$F$14</f>
        <v>ログイン画面</v>
      </c>
      <c r="F12" s="20" t="str">
        <f>WBS!$G$14</f>
        <v>画面設計書</v>
      </c>
      <c r="G12" s="20" t="n">
        <f>WBS!$H$14</f>
        <v>0.0</v>
      </c>
      <c r="H12" s="21" t="n">
        <f>WBS!$J$14</f>
        <v>46314.0</v>
      </c>
      <c r="I12" s="21" t="n">
        <f>WBS!$K$14</f>
        <v>46325.0</v>
      </c>
      <c r="J12" s="20" t="n">
        <f>WBS!$L$14</f>
        <v>0.0</v>
      </c>
      <c r="K12" s="19" t="str">
        <f>IF(WBS!$M$14="","",ROUND(WBS!$M$14*100,0))</f>
        <v/>
      </c>
    </row>
    <row r="13">
      <c r="A13" s="20" t="n">
        <f>WBS!$B$15</f>
        <v>0.0</v>
      </c>
      <c r="B13" s="20" t="str">
        <f>WBS!$C$15</f>
        <v>タスク</v>
      </c>
      <c r="C13" s="20" t="str">
        <f>WBS!$D$11</f>
        <v>基本設計</v>
      </c>
      <c r="D13" s="20" t="str">
        <f>WBS!$E$12</f>
        <v>画面設計</v>
      </c>
      <c r="E13" s="20" t="str">
        <f>WBS!$F$15</f>
        <v>ログイン画面</v>
      </c>
      <c r="F13" s="20" t="str">
        <f>WBS!$G$15</f>
        <v>画面設計書</v>
      </c>
      <c r="G13" s="20" t="str">
        <f>WBS!$H$15</f>
        <v>画面レイアウト作成</v>
      </c>
      <c r="H13" s="21" t="n">
        <f>WBS!$J$15</f>
        <v>46314.0</v>
      </c>
      <c r="I13" s="21" t="n">
        <f>WBS!$K$15</f>
        <v>46318.0</v>
      </c>
      <c r="J13" s="20" t="str">
        <f>WBS!$L$15</f>
        <v>未着手</v>
      </c>
      <c r="K13" s="19" t="n">
        <f>IF(WBS!$M$15="","",ROUND(WBS!$M$15*100,0))</f>
        <v>0.0</v>
      </c>
    </row>
    <row r="14">
      <c r="A14" s="20" t="n">
        <f>WBS!$B$16</f>
        <v>0.0</v>
      </c>
      <c r="B14" s="20" t="str">
        <f>WBS!$C$16</f>
        <v>タスク</v>
      </c>
      <c r="C14" s="20" t="str">
        <f>WBS!$D$11</f>
        <v>基本設計</v>
      </c>
      <c r="D14" s="20" t="str">
        <f>WBS!$E$12</f>
        <v>画面設計</v>
      </c>
      <c r="E14" s="20" t="str">
        <f>WBS!$F$16</f>
        <v>ログイン画面</v>
      </c>
      <c r="F14" s="20" t="str">
        <f>WBS!$G$16</f>
        <v>画面設計書</v>
      </c>
      <c r="G14" s="20" t="str">
        <f>WBS!$H$16</f>
        <v>入力チェック仕様作成</v>
      </c>
      <c r="H14" s="21" t="n">
        <f>WBS!$J$16</f>
        <v>46321.0</v>
      </c>
      <c r="I14" s="21" t="n">
        <f>WBS!$K$16</f>
        <v>46325.0</v>
      </c>
      <c r="J14" s="20" t="str">
        <f>WBS!$L$16</f>
        <v>未着手</v>
      </c>
      <c r="K14" s="19" t="n">
        <f>IF(WBS!$M$16="","",ROUND(WBS!$M$16*100,0))</f>
        <v>0.0</v>
      </c>
    </row>
    <row r="15">
      <c r="A15" s="20" t="n">
        <f>WBS!$B$17</f>
        <v>0.0</v>
      </c>
      <c r="B15" s="20" t="str">
        <f>WBS!$C$17</f>
        <v>タスク</v>
      </c>
      <c r="C15" s="20" t="str">
        <f>WBS!$D$11</f>
        <v>基本設計</v>
      </c>
      <c r="D15" s="20" t="str">
        <f>WBS!$E$12</f>
        <v>画面設計</v>
      </c>
      <c r="E15" s="20" t="n">
        <f>WBS!$F$17</f>
        <v>0.0</v>
      </c>
      <c r="F15" s="20" t="n">
        <f>WBS!$G$17</f>
        <v>0.0</v>
      </c>
      <c r="G15" s="20" t="str">
        <f>WBS!$H$17</f>
        <v>画面一覧作成</v>
      </c>
      <c r="H15" s="21" t="n">
        <f>WBS!$J$17</f>
        <v>46328.0</v>
      </c>
      <c r="I15" s="21" t="n">
        <f>WBS!$K$17</f>
        <v>46332.0</v>
      </c>
      <c r="J15" s="20" t="str">
        <f>WBS!$L$17</f>
        <v>未着手</v>
      </c>
      <c r="K15" s="19" t="n">
        <f>IF(WBS!$M$17="","",ROUND(WBS!$M$17*100,0))</f>
        <v>0.0</v>
      </c>
    </row>
    <row r="16">
      <c r="A16" s="20" t="n">
        <f>WBS!$B$18</f>
        <v>0.0</v>
      </c>
      <c r="B16" s="20" t="str">
        <f>WBS!$C$18</f>
        <v>サマリ</v>
      </c>
      <c r="C16" s="20" t="str">
        <f>WBS!$D$11</f>
        <v>基本設計</v>
      </c>
      <c r="D16" s="20" t="str">
        <f>WBS!$E$18</f>
        <v>DB設計</v>
      </c>
      <c r="E16" s="20" t="n">
        <f>WBS!$F$18</f>
        <v>0.0</v>
      </c>
      <c r="F16" s="20" t="n">
        <f>WBS!$G$18</f>
        <v>0.0</v>
      </c>
      <c r="G16" s="20" t="n">
        <f>WBS!$H$18</f>
        <v>0.0</v>
      </c>
      <c r="H16" s="21" t="n">
        <f>WBS!$J$18</f>
        <v>46321.0</v>
      </c>
      <c r="I16" s="21" t="n">
        <f>WBS!$K$18</f>
        <v>46337.0</v>
      </c>
      <c r="J16" s="20" t="n">
        <f>WBS!$L$18</f>
        <v>0.0</v>
      </c>
      <c r="K16" s="19" t="str">
        <f>IF(WBS!$M$18="","",ROUND(WBS!$M$18*100,0))</f>
        <v/>
      </c>
    </row>
    <row r="17">
      <c r="A17" s="20" t="n">
        <f>WBS!$B$19</f>
        <v>0.0</v>
      </c>
      <c r="B17" s="20" t="str">
        <f>WBS!$C$19</f>
        <v>タスク</v>
      </c>
      <c r="C17" s="20" t="str">
        <f>WBS!$D$11</f>
        <v>基本設計</v>
      </c>
      <c r="D17" s="20" t="str">
        <f>WBS!$E$18</f>
        <v>DB設計</v>
      </c>
      <c r="E17" s="20" t="n">
        <f>WBS!$F$19</f>
        <v>0.0</v>
      </c>
      <c r="F17" s="20" t="n">
        <f>WBS!$G$19</f>
        <v>0.0</v>
      </c>
      <c r="G17" s="20" t="str">
        <f>WBS!$H$19</f>
        <v>テーブル定義作成</v>
      </c>
      <c r="H17" s="21" t="n">
        <f>WBS!$J$19</f>
        <v>46321.0</v>
      </c>
      <c r="I17" s="21" t="n">
        <f>WBS!$K$19</f>
        <v>46337.0</v>
      </c>
      <c r="J17" s="20" t="str">
        <f>WBS!$L$19</f>
        <v>未着手</v>
      </c>
      <c r="K17" s="19" t="n">
        <f>IF(WBS!$M$19="","",ROUND(WBS!$M$19*100,0))</f>
        <v>0.0</v>
      </c>
    </row>
    <row r="18">
      <c r="A18" s="20" t="n">
        <f>WBS!$B$20</f>
        <v>0.0</v>
      </c>
      <c r="B18" s="20" t="str">
        <f>WBS!$C$20</f>
        <v>タスク</v>
      </c>
      <c r="C18" s="20" t="str">
        <f>WBS!$D$11</f>
        <v>基本設計</v>
      </c>
      <c r="D18" s="20" t="n">
        <f>WBS!$E$20</f>
        <v>0.0</v>
      </c>
      <c r="E18" s="20" t="n">
        <f>WBS!$F$20</f>
        <v>0.0</v>
      </c>
      <c r="F18" s="20" t="n">
        <f>WBS!$G$20</f>
        <v>0.0</v>
      </c>
      <c r="G18" s="20" t="str">
        <f>WBS!$H$20</f>
        <v>基本設計書レビュー</v>
      </c>
      <c r="H18" s="21" t="n">
        <f>WBS!$J$20</f>
        <v>46338.0</v>
      </c>
      <c r="I18" s="21" t="n">
        <f>WBS!$K$20</f>
        <v>46339.0</v>
      </c>
      <c r="J18" s="20" t="str">
        <f>WBS!$L$20</f>
        <v>未着手</v>
      </c>
      <c r="K18" s="19" t="n">
        <f>IF(WBS!$M$20="","",ROUND(WBS!$M$20*100,0))</f>
        <v>0.0</v>
      </c>
    </row>
  </sheetData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2026-09-28T06:10:38Z</dcterms:created>
  <dc:creator>Apache POI</dc:creator>
</cp:coreProperties>
</file>